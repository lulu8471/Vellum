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mit-my.sharepoint.com/personal/lulu_tw_malca-amit_com/Documents/文件/WOW/Tiffany/excel/"/>
    </mc:Choice>
  </mc:AlternateContent>
  <xr:revisionPtr revIDLastSave="9" documentId="8_{0F56516B-FF6C-4BAD-91AD-91310267CE37}" xr6:coauthVersionLast="47" xr6:coauthVersionMax="47" xr10:uidLastSave="{C1C20AB7-9C42-47CF-9C12-4FFAB747EE30}"/>
  <bookViews>
    <workbookView xWindow="-120" yWindow="-120" windowWidth="29040" windowHeight="17520" xr2:uid="{7D5FA37C-4441-4556-8A02-6F55FEC6A6A1}"/>
  </bookViews>
  <sheets>
    <sheet name="USGDC_DailyShipment__TW _081920" sheetId="2" r:id="rId1"/>
    <sheet name="工作表1" sheetId="1" r:id="rId2"/>
  </sheets>
  <definedNames>
    <definedName name="外部資料_1" localSheetId="0" hidden="1">'USGDC_DailyShipment__TW _081920'!$A$1:$R$4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2" l="1"/>
  <c r="U3" i="2"/>
  <c r="I5" i="2"/>
  <c r="J5" i="2"/>
  <c r="K5" i="2"/>
  <c r="L5" i="2"/>
  <c r="M5" i="2"/>
  <c r="N5" i="2"/>
  <c r="O5" i="2"/>
  <c r="T2" i="2"/>
  <c r="T3" i="2"/>
  <c r="T4" i="2"/>
  <c r="P2" i="2"/>
  <c r="P5" i="2" s="1"/>
  <c r="P3" i="2"/>
  <c r="P4" i="2"/>
  <c r="H2" i="2"/>
  <c r="H3" i="2"/>
  <c r="H4" i="2"/>
  <c r="U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957D3A-A8A3-4EDC-89D0-482CA4F37E0E}" keepAlive="1" name="查詢 - USGDC_DailyShipment__TW _08192026221328" description="與活頁簿中 'USGDC_DailyShipment__TW _08192026221328' 查詢的連接。" type="5" refreshedVersion="8" background="1" saveData="1">
    <dbPr connection="Provider=Microsoft.Mashup.OleDb.1;Data Source=$Workbook$;Location=&quot;USGDC_DailyShipment__TW _08192026221328&quot;;Extended Properties=&quot;&quot;" command="SELECT * FROM [USGDC_DailyShipment__TW _08192026221328]"/>
  </connection>
</connections>
</file>

<file path=xl/sharedStrings.xml><?xml version="1.0" encoding="utf-8"?>
<sst xmlns="http://schemas.openxmlformats.org/spreadsheetml/2006/main" count="44" uniqueCount="31">
  <si>
    <t>Carton ID</t>
  </si>
  <si>
    <t>Commercial Invoice</t>
  </si>
  <si>
    <t>Shipto</t>
  </si>
  <si>
    <t>Item Name</t>
  </si>
  <si>
    <t>Item Description</t>
  </si>
  <si>
    <t>Product Family Group</t>
  </si>
  <si>
    <t>Product Description</t>
  </si>
  <si>
    <t>Shipped Qty</t>
  </si>
  <si>
    <t>Unit Price</t>
  </si>
  <si>
    <t>Extended Merch Line Value</t>
  </si>
  <si>
    <t>Unit Freight</t>
  </si>
  <si>
    <t>Extended Freight Line Value</t>
  </si>
  <si>
    <t>Total Line Value</t>
  </si>
  <si>
    <t>Item Weight Grams</t>
  </si>
  <si>
    <t>Item COO</t>
  </si>
  <si>
    <t>HTS</t>
  </si>
  <si>
    <t>18Y HLF DI T1 WDRG4.5</t>
  </si>
  <si>
    <t>FINE JEWELRY</t>
  </si>
  <si>
    <t>Ring</t>
  </si>
  <si>
    <t>IT</t>
  </si>
  <si>
    <t>18Y SNAKERG 3D .04 6.5</t>
  </si>
  <si>
    <t>ES</t>
  </si>
  <si>
    <t>18Y SNAKERG 3D .04 7</t>
  </si>
  <si>
    <t>欄1</t>
  </si>
  <si>
    <t>欄2</t>
  </si>
  <si>
    <t>7113.19.00.00-9</t>
  </si>
  <si>
    <t>欄3</t>
  </si>
  <si>
    <t>欄4</t>
  </si>
  <si>
    <t>欄5</t>
    <phoneticPr fontId="1" type="noConversion"/>
  </si>
  <si>
    <t>CG  150B800647</t>
    <phoneticPr fontId="1" type="noConversion"/>
  </si>
  <si>
    <t>160-16121140 1097286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</si>
</sst>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11"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A3273297-294E-41A7-9584-6A33FF632C38}" autoFormatId="16" applyNumberFormats="0" applyBorderFormats="0" applyFontFormats="0" applyPatternFormats="0" applyAlignmentFormats="0" applyWidthHeightFormats="0">
  <queryTableRefresh nextId="22" unboundColumnsRight="3">
    <queryTableFields count="21">
      <queryTableField id="1" name="Carton ID" tableColumnId="1"/>
      <queryTableField id="2" name="Commercial Invoice" tableColumnId="2"/>
      <queryTableField id="3" name="Shipto" tableColumnId="3"/>
      <queryTableField id="4" name="Item Name" tableColumnId="4"/>
      <queryTableField id="5" name="Item Description" tableColumnId="5"/>
      <queryTableField id="6" name="Product Family Group" tableColumnId="6"/>
      <queryTableField id="7" name="Product Description" tableColumnId="7"/>
      <queryTableField id="17" dataBound="0" tableColumnId="17"/>
      <queryTableField id="8" name="Shipped Qty" tableColumnId="8"/>
      <queryTableField id="9" name="Unit Price" tableColumnId="9"/>
      <queryTableField id="10" name="Extended Merch Line Value" tableColumnId="10"/>
      <queryTableField id="11" name="Unit Freight" tableColumnId="11"/>
      <queryTableField id="12" name="Extended Freight Line Value" tableColumnId="12"/>
      <queryTableField id="13" name="Total Line Value" tableColumnId="13"/>
      <queryTableField id="14" name="Item Weight Grams" tableColumnId="14"/>
      <queryTableField id="18" dataBound="0" tableColumnId="18"/>
      <queryTableField id="15" name="Item COO" tableColumnId="15"/>
      <queryTableField id="16" name="HTS" tableColumnId="16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4D433-782B-441F-9E95-9277887D4E1A}" name="USGDC_DailyShipment__TW__08192026221328" displayName="USGDC_DailyShipment__TW__08192026221328" ref="A1:U5" tableType="queryTable" totalsRowCount="1">
  <autoFilter ref="A1:U4" xr:uid="{15F4D433-782B-441F-9E95-9277887D4E1A}"/>
  <tableColumns count="21">
    <tableColumn id="1" xr3:uid="{50A940A2-0808-412B-9748-5B4399B3B6A0}" uniqueName="1" name="Carton ID" queryTableFieldId="1"/>
    <tableColumn id="2" xr3:uid="{4ABA1B8A-3762-46FF-82A3-AB4CF4C4C1E7}" uniqueName="2" name="Commercial Invoice" queryTableFieldId="2"/>
    <tableColumn id="3" xr3:uid="{5386D623-7372-46F7-8BC0-F0EB52F85B41}" uniqueName="3" name="Shipto" queryTableFieldId="3"/>
    <tableColumn id="4" xr3:uid="{D60F4D1A-321E-4F7E-B467-837523044C16}" uniqueName="4" name="Item Name" queryTableFieldId="4"/>
    <tableColumn id="5" xr3:uid="{0E0548BA-3F4C-479F-AE59-2C7862FAC52E}" uniqueName="5" name="Item Description" queryTableFieldId="5" dataDxfId="10"/>
    <tableColumn id="6" xr3:uid="{D14B7CE0-72D4-4649-82A0-46A0F691EF39}" uniqueName="6" name="Product Family Group" queryTableFieldId="6" dataDxfId="9"/>
    <tableColumn id="7" xr3:uid="{5680278C-E67A-45E1-B65A-ED302CAB8C2E}" uniqueName="7" name="Product Description" queryTableFieldId="7" dataDxfId="8"/>
    <tableColumn id="17" xr3:uid="{54CBC5E9-69B1-4BD5-B137-A057658EB8C2}" uniqueName="17" name="欄1" queryTableFieldId="17" dataDxfId="7">
      <calculatedColumnFormula>_xlfn.TEXTJOIN("",TRUE,"("&amp;G2&amp;")")</calculatedColumnFormula>
    </tableColumn>
    <tableColumn id="8" xr3:uid="{CB33A909-60FA-4461-87DC-4041A65701FC}" uniqueName="8" name="Shipped Qty" totalsRowFunction="sum" queryTableFieldId="8"/>
    <tableColumn id="9" xr3:uid="{A70331D8-6AE8-41AD-89AC-593A0B7753A5}" uniqueName="9" name="Unit Price" totalsRowFunction="sum" queryTableFieldId="9"/>
    <tableColumn id="10" xr3:uid="{88E88B65-4646-462B-9C3D-EE5D65EFBEA4}" uniqueName="10" name="Extended Merch Line Value" totalsRowFunction="sum" queryTableFieldId="10"/>
    <tableColumn id="11" xr3:uid="{F9CA99F7-8F3F-41E7-8667-AD872FF90515}" uniqueName="11" name="Unit Freight" totalsRowFunction="sum" queryTableFieldId="11"/>
    <tableColumn id="12" xr3:uid="{B75AA63B-61AB-4654-87FB-E017F024086B}" uniqueName="12" name="Extended Freight Line Value" totalsRowFunction="sum" queryTableFieldId="12"/>
    <tableColumn id="13" xr3:uid="{82E94EDC-F4D5-4B97-8BC6-CAC56499C2CF}" uniqueName="13" name="Total Line Value" totalsRowFunction="sum" queryTableFieldId="13"/>
    <tableColumn id="14" xr3:uid="{AB4AF25A-1E4D-43BB-838D-ED5EC82582A5}" uniqueName="14" name="Item Weight Grams" totalsRowFunction="sum" queryTableFieldId="14"/>
    <tableColumn id="18" xr3:uid="{C49D903B-CE7C-4E4D-BA38-C591F4DED584}" uniqueName="18" name="欄2" totalsRowFunction="sum" queryTableFieldId="18" dataDxfId="6">
      <calculatedColumnFormula>I2*O2/1000</calculatedColumnFormula>
    </tableColumn>
    <tableColumn id="15" xr3:uid="{C8E52BB8-AE3C-4A7C-A465-C9BB94D733F2}" uniqueName="15" name="Item COO" queryTableFieldId="15" dataDxfId="5"/>
    <tableColumn id="16" xr3:uid="{A05F453D-9CF3-4372-BB92-285B03EF3599}" uniqueName="16" name="HTS" queryTableFieldId="16" dataDxfId="4"/>
    <tableColumn id="19" xr3:uid="{C47B318B-C781-4E33-BFD5-7ABBB49DDE65}" uniqueName="19" name="欄3" queryTableFieldId="19" dataDxfId="3"/>
    <tableColumn id="20" xr3:uid="{4B56F74F-CA81-4321-870F-4E9B5207530B}" uniqueName="20" name="欄4" queryTableFieldId="20" dataDxfId="2">
      <calculatedColumnFormula>IF(LEFT(G2,3)="Ear","NPR","PCE")</calculatedColumnFormula>
    </tableColumn>
    <tableColumn id="21" xr3:uid="{7567C859-E85D-470F-96C2-B2C194DD0774}" uniqueName="21" name="欄5" queryTableFieldId="21" dataDxfId="1" totalsRowDxfId="0">
      <calculatedColumnFormula>_xlfn.TEXTJOIN(CHAR(10),TRUE,USGDC_DailyShipment__TW__08192026221328[[#This Row],[Item Name]],USGDC_DailyShipment__TW__08192026221328[[#This Row],[Item Description]],USGDC_DailyShipment__TW__08192026221328[[#This Row],[欄1]])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9698-6B3C-4535-B559-338E153B42C2}">
  <dimension ref="A1:U14"/>
  <sheetViews>
    <sheetView tabSelected="1" topLeftCell="K1" workbookViewId="0">
      <selection activeCell="U3" sqref="U3"/>
    </sheetView>
  </sheetViews>
  <sheetFormatPr defaultRowHeight="16.5" x14ac:dyDescent="0.25"/>
  <cols>
    <col min="1" max="1" width="12.625" bestFit="1" customWidth="1"/>
    <col min="2" max="2" width="22.875" bestFit="1" customWidth="1"/>
    <col min="3" max="3" width="9.5" bestFit="1" customWidth="1"/>
    <col min="4" max="4" width="13.625" bestFit="1" customWidth="1"/>
    <col min="5" max="5" width="26.125" bestFit="1" customWidth="1"/>
    <col min="6" max="6" width="24.875" bestFit="1" customWidth="1"/>
    <col min="7" max="7" width="22.625" bestFit="1" customWidth="1"/>
    <col min="8" max="8" width="22.625" customWidth="1"/>
    <col min="9" max="9" width="15.125" bestFit="1" customWidth="1"/>
    <col min="10" max="10" width="12.75" bestFit="1" customWidth="1"/>
    <col min="11" max="11" width="30.625" bestFit="1" customWidth="1"/>
    <col min="12" max="12" width="14.875" bestFit="1" customWidth="1"/>
    <col min="13" max="13" width="31.5" bestFit="1" customWidth="1"/>
    <col min="14" max="14" width="19.625" bestFit="1" customWidth="1"/>
    <col min="15" max="15" width="22.125" bestFit="1" customWidth="1"/>
    <col min="16" max="16" width="22.125" customWidth="1"/>
    <col min="17" max="17" width="12.75" bestFit="1" customWidth="1"/>
    <col min="18" max="18" width="20.25" customWidth="1"/>
    <col min="21" max="21" width="32.7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</v>
      </c>
      <c r="Q1" t="s">
        <v>14</v>
      </c>
      <c r="R1" t="s">
        <v>15</v>
      </c>
      <c r="S1" t="s">
        <v>26</v>
      </c>
      <c r="T1" t="s">
        <v>27</v>
      </c>
      <c r="U1" s="1" t="s">
        <v>28</v>
      </c>
    </row>
    <row r="2" spans="1:21" ht="49.5" x14ac:dyDescent="0.25">
      <c r="A2">
        <v>2100739721</v>
      </c>
      <c r="B2">
        <v>40831790</v>
      </c>
      <c r="C2">
        <v>409</v>
      </c>
      <c r="D2">
        <v>68171563</v>
      </c>
      <c r="E2" t="s">
        <v>16</v>
      </c>
      <c r="F2" t="s">
        <v>17</v>
      </c>
      <c r="G2" t="s">
        <v>18</v>
      </c>
      <c r="H2" t="str">
        <f t="shared" ref="H2:H4" si="0">_xlfn.TEXTJOIN("",TRUE,"("&amp;G2&amp;")")</f>
        <v>(Ring)</v>
      </c>
      <c r="I2">
        <v>1</v>
      </c>
      <c r="J2">
        <v>2700</v>
      </c>
      <c r="K2">
        <v>2700</v>
      </c>
      <c r="L2">
        <v>27</v>
      </c>
      <c r="M2">
        <v>27</v>
      </c>
      <c r="N2">
        <v>2727</v>
      </c>
      <c r="O2">
        <v>9.74</v>
      </c>
      <c r="P2">
        <f t="shared" ref="P2:P4" si="1">I2*O2/1000</f>
        <v>9.7400000000000004E-3</v>
      </c>
      <c r="Q2" t="s">
        <v>19</v>
      </c>
      <c r="R2" t="s">
        <v>25</v>
      </c>
      <c r="S2">
        <v>50</v>
      </c>
      <c r="T2" t="str">
        <f t="shared" ref="T2:T4" si="2">IF(LEFT(G2,3)="Ear","NPR","PCE")</f>
        <v>PCE</v>
      </c>
      <c r="U2" s="1" t="str">
        <f>_xlfn.TEXTJOIN(CHAR(10),TRUE,USGDC_DailyShipment__TW__08192026221328[[#This Row],[Item Name]],USGDC_DailyShipment__TW__08192026221328[[#This Row],[Item Description]],USGDC_DailyShipment__TW__08192026221328[[#This Row],[欄1]])</f>
        <v>68171563
18Y HLF DI T1 WDRG4.5
(Ring)</v>
      </c>
    </row>
    <row r="3" spans="1:21" ht="49.5" x14ac:dyDescent="0.25">
      <c r="A3">
        <v>2100825521</v>
      </c>
      <c r="B3">
        <v>40831807</v>
      </c>
      <c r="C3">
        <v>411</v>
      </c>
      <c r="D3">
        <v>10785359</v>
      </c>
      <c r="E3" t="s">
        <v>20</v>
      </c>
      <c r="F3" t="s">
        <v>17</v>
      </c>
      <c r="G3" t="s">
        <v>18</v>
      </c>
      <c r="H3" t="str">
        <f t="shared" si="0"/>
        <v>(Ring)</v>
      </c>
      <c r="I3">
        <v>1</v>
      </c>
      <c r="J3">
        <v>2150</v>
      </c>
      <c r="K3">
        <v>2150</v>
      </c>
      <c r="L3">
        <v>21.5</v>
      </c>
      <c r="M3">
        <v>21.5</v>
      </c>
      <c r="N3">
        <v>2171.5</v>
      </c>
      <c r="O3">
        <v>6.05</v>
      </c>
      <c r="P3">
        <f t="shared" si="1"/>
        <v>6.0499999999999998E-3</v>
      </c>
      <c r="Q3" t="s">
        <v>21</v>
      </c>
      <c r="R3" t="s">
        <v>25</v>
      </c>
      <c r="S3">
        <v>50</v>
      </c>
      <c r="T3" t="str">
        <f t="shared" si="2"/>
        <v>PCE</v>
      </c>
      <c r="U3" s="1" t="str">
        <f>_xlfn.TEXTJOIN(CHAR(10),TRUE,USGDC_DailyShipment__TW__08192026221328[[#This Row],[Item Name]],USGDC_DailyShipment__TW__08192026221328[[#This Row],[Item Description]],USGDC_DailyShipment__TW__08192026221328[[#This Row],[欄1]])</f>
        <v>10785359
18Y SNAKERG 3D .04 6.5
(Ring)</v>
      </c>
    </row>
    <row r="4" spans="1:21" ht="49.5" x14ac:dyDescent="0.25">
      <c r="A4">
        <v>2100825521</v>
      </c>
      <c r="B4">
        <v>40831807</v>
      </c>
      <c r="C4">
        <v>411</v>
      </c>
      <c r="D4">
        <v>10785375</v>
      </c>
      <c r="E4" t="s">
        <v>22</v>
      </c>
      <c r="F4" t="s">
        <v>17</v>
      </c>
      <c r="G4" t="s">
        <v>18</v>
      </c>
      <c r="H4" t="str">
        <f t="shared" si="0"/>
        <v>(Ring)</v>
      </c>
      <c r="I4">
        <v>1</v>
      </c>
      <c r="J4">
        <v>2150</v>
      </c>
      <c r="K4">
        <v>2150</v>
      </c>
      <c r="L4">
        <v>21.5</v>
      </c>
      <c r="M4">
        <v>21.5</v>
      </c>
      <c r="N4">
        <v>2171.5</v>
      </c>
      <c r="O4">
        <v>6.37</v>
      </c>
      <c r="P4">
        <f t="shared" si="1"/>
        <v>6.3699999999999998E-3</v>
      </c>
      <c r="Q4" t="s">
        <v>21</v>
      </c>
      <c r="R4" t="s">
        <v>25</v>
      </c>
      <c r="S4">
        <v>50</v>
      </c>
      <c r="T4" t="str">
        <f t="shared" si="2"/>
        <v>PCE</v>
      </c>
      <c r="U4" s="1" t="str">
        <f>_xlfn.TEXTJOIN(CHAR(10),TRUE,USGDC_DailyShipment__TW__08192026221328[[#This Row],[Item Name]],USGDC_DailyShipment__TW__08192026221328[[#This Row],[Item Description]],USGDC_DailyShipment__TW__08192026221328[[#This Row],[欄1]])</f>
        <v>10785375
18Y SNAKERG 3D .04 7
(Ring)</v>
      </c>
    </row>
    <row r="5" spans="1:21" x14ac:dyDescent="0.25">
      <c r="I5">
        <f>SUBTOTAL(109,USGDC_DailyShipment__TW__08192026221328[Shipped Qty])</f>
        <v>3</v>
      </c>
      <c r="J5">
        <f>SUBTOTAL(109,USGDC_DailyShipment__TW__08192026221328[Unit Price])</f>
        <v>7000</v>
      </c>
      <c r="K5">
        <f>SUBTOTAL(109,USGDC_DailyShipment__TW__08192026221328[Extended Merch Line Value])</f>
        <v>7000</v>
      </c>
      <c r="L5">
        <f>SUBTOTAL(109,USGDC_DailyShipment__TW__08192026221328[Unit Freight])</f>
        <v>70</v>
      </c>
      <c r="M5">
        <f>SUBTOTAL(109,USGDC_DailyShipment__TW__08192026221328[Extended Freight Line Value])</f>
        <v>70</v>
      </c>
      <c r="N5">
        <f>SUBTOTAL(109,USGDC_DailyShipment__TW__08192026221328[Total Line Value])</f>
        <v>7070</v>
      </c>
      <c r="O5">
        <f>SUBTOTAL(109,USGDC_DailyShipment__TW__08192026221328[Item Weight Grams])</f>
        <v>22.16</v>
      </c>
      <c r="P5">
        <f>SUBTOTAL(109,USGDC_DailyShipment__TW__08192026221328[欄2])</f>
        <v>2.2159999999999999E-2</v>
      </c>
    </row>
    <row r="10" spans="1:21" x14ac:dyDescent="0.25">
      <c r="H10" t="s">
        <v>2</v>
      </c>
      <c r="I10" t="s">
        <v>0</v>
      </c>
      <c r="T10" s="1"/>
      <c r="U10"/>
    </row>
    <row r="11" spans="1:21" x14ac:dyDescent="0.25">
      <c r="F11" t="s">
        <v>30</v>
      </c>
      <c r="G11" t="s">
        <v>29</v>
      </c>
      <c r="H11">
        <v>409</v>
      </c>
      <c r="I11">
        <v>2100739721</v>
      </c>
      <c r="T11" s="1"/>
      <c r="U11"/>
    </row>
    <row r="12" spans="1:21" x14ac:dyDescent="0.25">
      <c r="F12" t="s">
        <v>30</v>
      </c>
      <c r="G12" t="s">
        <v>29</v>
      </c>
      <c r="H12">
        <v>411</v>
      </c>
      <c r="I12">
        <v>2100825521</v>
      </c>
      <c r="T12" s="1"/>
      <c r="U12"/>
    </row>
    <row r="13" spans="1:21" x14ac:dyDescent="0.25">
      <c r="F13" t="s">
        <v>30</v>
      </c>
      <c r="G13" t="s">
        <v>29</v>
      </c>
      <c r="H13">
        <v>411</v>
      </c>
      <c r="I13">
        <v>2100825521</v>
      </c>
      <c r="T13" s="1"/>
      <c r="U13"/>
    </row>
    <row r="14" spans="1:21" x14ac:dyDescent="0.25">
      <c r="T14" s="1"/>
      <c r="U1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7C26-AE23-4197-841A-2987E27180D5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75279-49CC-497B-B7A1-73B1686417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USGDC_DailyShipment__TW _081920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Huang (MA TW)</dc:creator>
  <cp:lastModifiedBy>Lulu Huang (MA TW)</cp:lastModifiedBy>
  <dcterms:created xsi:type="dcterms:W3CDTF">2026-08-20T03:25:50Z</dcterms:created>
  <dcterms:modified xsi:type="dcterms:W3CDTF">2026-08-24T08:34:22Z</dcterms:modified>
</cp:coreProperties>
</file>